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/>
  <workbookPr filterPrivacy="1" defaultThemeVersion="153222"/>
  <bookViews>
    <workbookView xWindow="0" yWindow="0" windowWidth="28800" windowHeight="15150"/>
  </bookViews>
  <sheets>
    <sheet name="1.2. Iterations Data" sheetId="2" r:id="rId1"/>
    <sheet name="3. Exported TFS・VSTS Data" sheetId="3" r:id="rId2"/>
  </sheets>
  <externalReferences>
    <externalReference r:id="rId3"/>
    <externalReference r:id="rId4"/>
  </externalReferences>
  <definedNames>
    <definedName name="VSTS_ValidationRange_110c2c52a32c44f0994b8b4d86b37518" hidden="1">#REF!</definedName>
    <definedName name="VSTS_ValidationRange_20d2045e14ca48ac86da1d4938773669" hidden="1">[1]VSTS_ValidationWS_1!$H$1:$H$2</definedName>
    <definedName name="VSTS_ValidationRange_2a55c97fbb104de38381b7f50a5c100c" hidden="1">[1]VSTS_ValidationWS_1!$F$1:$F$18</definedName>
    <definedName name="VSTS_ValidationRange_32170735e94749a99ebc20af61868bf2" hidden="1">[2]VSTS_ValidationWS_1!$U$1:$U$5</definedName>
    <definedName name="VSTS_ValidationRange_418cb761a7e9427993bee67d9d16900f" hidden="1">#REF!</definedName>
    <definedName name="VSTS_ValidationRange_484f40d11aa445b78746ba6a1bf3d2a5" hidden="1">[1]VSTS_ValidationWS_1!$AG$1</definedName>
    <definedName name="VSTS_ValidationRange_574ec2e2d316415e8751feec513f078d" hidden="1">[1]VSTS_ValidationWS_1!$AF$1:$AF$4</definedName>
    <definedName name="VSTS_ValidationRange_78358de01cc04b4abbed6cd07eac2b0b" hidden="1">#REF!</definedName>
    <definedName name="VSTS_ValidationRange_7c9ce3222d074b81857d99408bc343d5" hidden="1">[2]VSTS_ValidationWS_1!$F$1:$F$8</definedName>
    <definedName name="VSTS_ValidationRange_83d56af1fb5842fdaeba4cf5b5a0d173" hidden="1">#REF!</definedName>
    <definedName name="VSTS_ValidationRange_8437c41180dd4504b90fd63964e06f82" hidden="1">[2]VSTS_ValidationWS_1!$V$1:$V$3</definedName>
    <definedName name="VSTS_ValidationRange_8c3bfd4d485b43dfac161ee433f4ad2c" hidden="1">#REF!</definedName>
    <definedName name="VSTS_ValidationRange_d986db33bce648eca581991ee67367a8" hidden="1">[1]VSTS_ValidationWS_1!$I$1:$I$3</definedName>
    <definedName name="VSTS_ValidationRange_f59671e43a2a4ad2a6b9fb308689e267" hidden="1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3" i="3" l="1"/>
  <c r="BB3" i="3" l="1"/>
  <c r="BA3" i="3"/>
  <c r="AZ3" i="3"/>
  <c r="AY3" i="3"/>
  <c r="AX3" i="3"/>
  <c r="AW3" i="3"/>
  <c r="AV3" i="3"/>
  <c r="BC3" i="3" l="1"/>
  <c r="AT3" i="3" l="1"/>
  <c r="AS3" i="3"/>
  <c r="AQ3" i="3" l="1"/>
  <c r="AI3" i="3"/>
  <c r="AH3" i="3"/>
  <c r="AG3" i="3"/>
  <c r="AF3" i="3"/>
  <c r="AE3" i="3"/>
  <c r="AD3" i="3"/>
  <c r="AC3" i="3"/>
  <c r="AB3" i="3"/>
  <c r="AA3" i="3"/>
  <c r="Z3" i="3"/>
  <c r="AR3" i="3"/>
  <c r="AP3" i="3"/>
  <c r="AO3" i="3"/>
  <c r="AN3" i="3"/>
  <c r="AM3" i="3"/>
  <c r="AL3" i="3"/>
  <c r="AK3" i="3"/>
  <c r="AN4" i="3" l="1"/>
  <c r="AX4" i="3"/>
  <c r="AK4" i="3"/>
  <c r="AV4" i="3"/>
  <c r="AW4" i="3"/>
  <c r="AL4" i="3"/>
  <c r="AJ3" i="3" l="1"/>
  <c r="N3" i="3" l="1"/>
  <c r="Y3" i="3"/>
  <c r="AM4" i="3" l="1"/>
  <c r="AQ4" i="3" l="1"/>
  <c r="AR4" i="3" l="1"/>
  <c r="R3" i="3" l="1"/>
  <c r="AB4" i="3"/>
  <c r="Q3" i="3"/>
  <c r="P3" i="3"/>
  <c r="AA4" i="3"/>
  <c r="O3" i="3"/>
  <c r="Z4" i="3"/>
  <c r="O4" i="3" l="1"/>
  <c r="R4" i="3"/>
  <c r="X3" i="3"/>
  <c r="AC4" i="3"/>
  <c r="U3" i="3"/>
  <c r="U4" i="3" s="1"/>
  <c r="AF4" i="3"/>
  <c r="P4" i="3"/>
  <c r="T3" i="3"/>
  <c r="S3" i="3"/>
  <c r="AG4" i="3"/>
  <c r="W3" i="3"/>
  <c r="Q4" i="3"/>
  <c r="V3" i="3" l="1"/>
  <c r="V4" i="3" s="1"/>
</calcChain>
</file>

<file path=xl/sharedStrings.xml><?xml version="1.0" encoding="utf-8"?>
<sst xmlns="http://schemas.openxmlformats.org/spreadsheetml/2006/main" count="96" uniqueCount="95">
  <si>
    <t>Iteration Path</t>
    <phoneticPr fontId="1"/>
  </si>
  <si>
    <t>Spent</t>
    <phoneticPr fontId="1"/>
  </si>
  <si>
    <t>\</t>
    <phoneticPr fontId="1"/>
  </si>
  <si>
    <t>\Iteration 0</t>
  </si>
  <si>
    <t>\Iteration 1</t>
  </si>
  <si>
    <t>\Iteration 2</t>
  </si>
  <si>
    <t>\Iteration 3</t>
  </si>
  <si>
    <t>\Iteration 4</t>
  </si>
  <si>
    <t>\Iteration 5</t>
  </si>
  <si>
    <t>ID</t>
    <phoneticPr fontId="1"/>
  </si>
  <si>
    <t>Work Item Type</t>
    <phoneticPr fontId="1"/>
  </si>
  <si>
    <t>Iteration Path</t>
    <phoneticPr fontId="1"/>
  </si>
  <si>
    <t>Title 1</t>
    <phoneticPr fontId="1"/>
  </si>
  <si>
    <t>Title 2</t>
    <phoneticPr fontId="1"/>
  </si>
  <si>
    <t>Title 3</t>
    <phoneticPr fontId="1"/>
  </si>
  <si>
    <t>Title 4</t>
    <phoneticPr fontId="1"/>
  </si>
  <si>
    <t>Assigned To</t>
    <phoneticPr fontId="1"/>
  </si>
  <si>
    <t>State</t>
    <phoneticPr fontId="1"/>
  </si>
  <si>
    <t>Tags</t>
    <phoneticPr fontId="1"/>
  </si>
  <si>
    <t>Original Estimate</t>
    <phoneticPr fontId="1"/>
  </si>
  <si>
    <t>Remaining Work</t>
    <phoneticPr fontId="1"/>
  </si>
  <si>
    <t>Completed Work</t>
    <phoneticPr fontId="1"/>
  </si>
  <si>
    <t>T-EV</t>
    <phoneticPr fontId="1"/>
  </si>
  <si>
    <t>T-AC</t>
    <phoneticPr fontId="1"/>
  </si>
  <si>
    <t>T-PV</t>
    <phoneticPr fontId="1"/>
  </si>
  <si>
    <t>T-SV</t>
    <phoneticPr fontId="1"/>
  </si>
  <si>
    <t>T-CV</t>
    <phoneticPr fontId="1"/>
  </si>
  <si>
    <t>T-CPI</t>
    <phoneticPr fontId="1"/>
  </si>
  <si>
    <t>T-SPI</t>
    <phoneticPr fontId="1"/>
  </si>
  <si>
    <t>R-BAC</t>
    <phoneticPr fontId="1"/>
  </si>
  <si>
    <t>R-EV</t>
    <phoneticPr fontId="1"/>
  </si>
  <si>
    <t>R-AC</t>
    <phoneticPr fontId="1"/>
  </si>
  <si>
    <t>R-PV</t>
    <phoneticPr fontId="1"/>
  </si>
  <si>
    <t>R-SV</t>
    <phoneticPr fontId="1"/>
  </si>
  <si>
    <t>R-CV</t>
    <phoneticPr fontId="1"/>
  </si>
  <si>
    <t>R-EAC</t>
    <phoneticPr fontId="1"/>
  </si>
  <si>
    <t>R-VAC</t>
    <phoneticPr fontId="1"/>
  </si>
  <si>
    <t>R-CPI</t>
    <phoneticPr fontId="1"/>
  </si>
  <si>
    <t>R-SPI</t>
    <phoneticPr fontId="1"/>
  </si>
  <si>
    <t>F-BAC</t>
    <phoneticPr fontId="1"/>
  </si>
  <si>
    <t>F-EV</t>
    <phoneticPr fontId="1"/>
  </si>
  <si>
    <t>F-AC</t>
    <phoneticPr fontId="1"/>
  </si>
  <si>
    <t>F-PV</t>
    <phoneticPr fontId="1"/>
  </si>
  <si>
    <t>F-SV</t>
    <phoneticPr fontId="1"/>
  </si>
  <si>
    <t>F-CV</t>
    <phoneticPr fontId="1"/>
  </si>
  <si>
    <t>F-VAC</t>
    <phoneticPr fontId="1"/>
  </si>
  <si>
    <t>F-CPI</t>
    <phoneticPr fontId="1"/>
  </si>
  <si>
    <t>F-SPI</t>
    <phoneticPr fontId="1"/>
  </si>
  <si>
    <t>E-EV</t>
    <phoneticPr fontId="1"/>
  </si>
  <si>
    <t>E-AC</t>
    <phoneticPr fontId="1"/>
  </si>
  <si>
    <t>E-PV</t>
    <phoneticPr fontId="1"/>
  </si>
  <si>
    <t>E-SV</t>
    <phoneticPr fontId="1"/>
  </si>
  <si>
    <t>E-CV</t>
    <phoneticPr fontId="1"/>
  </si>
  <si>
    <t>E-CPI</t>
    <phoneticPr fontId="1"/>
  </si>
  <si>
    <t>E-SPI</t>
    <phoneticPr fontId="1"/>
  </si>
  <si>
    <t>F-Title</t>
    <phoneticPr fontId="1"/>
  </si>
  <si>
    <t>R-Title</t>
    <phoneticPr fontId="1"/>
  </si>
  <si>
    <t>T-Title</t>
    <phoneticPr fontId="1"/>
  </si>
  <si>
    <t>E-Title</t>
    <phoneticPr fontId="1"/>
  </si>
  <si>
    <t xml:space="preserve"> </t>
    <phoneticPr fontId="1"/>
  </si>
  <si>
    <t>Step 3: Copy and paste from the Excel file, that exported from TFS/VSTS by using "Tree of work items" query of WORK, to here ([ID] - [Completed Work]).</t>
    <phoneticPr fontId="1"/>
  </si>
  <si>
    <t>Step 1: Input here</t>
    <phoneticPr fontId="1"/>
  </si>
  <si>
    <t>Step 2: Choice here</t>
    <phoneticPr fontId="1"/>
  </si>
  <si>
    <t>E-BAC</t>
    <phoneticPr fontId="1"/>
  </si>
  <si>
    <t>E-EAC</t>
    <phoneticPr fontId="1"/>
  </si>
  <si>
    <t>E-VAC</t>
    <phoneticPr fontId="1"/>
  </si>
  <si>
    <t>F-EAC</t>
    <phoneticPr fontId="1"/>
  </si>
  <si>
    <t>Data Date</t>
    <phoneticPr fontId="1"/>
  </si>
  <si>
    <t>Step 4: Input here</t>
    <phoneticPr fontId="1"/>
  </si>
  <si>
    <t>\Iteration 6</t>
  </si>
  <si>
    <t>\Iteration 7</t>
  </si>
  <si>
    <t>\Iteration 8</t>
  </si>
  <si>
    <t>\Iteration 9</t>
  </si>
  <si>
    <t>\Iteration 10</t>
  </si>
  <si>
    <t>\Iteration 11</t>
  </si>
  <si>
    <t>\Iteration 12</t>
  </si>
  <si>
    <t>\Iteration 13</t>
  </si>
  <si>
    <t>\Iteration 22</t>
  </si>
  <si>
    <t>\Iteration 14</t>
  </si>
  <si>
    <t>\Iteration 21</t>
  </si>
  <si>
    <t>\Iteration 25</t>
  </si>
  <si>
    <t>\Iteration 23</t>
  </si>
  <si>
    <t>\Iteration 20</t>
  </si>
  <si>
    <t>\Iteration 19</t>
  </si>
  <si>
    <t>\Iteration 18</t>
  </si>
  <si>
    <t>\Iteration 17</t>
  </si>
  <si>
    <t>\Iteration 16</t>
  </si>
  <si>
    <t>\Iteration 15</t>
  </si>
  <si>
    <t>\Iteration 24</t>
  </si>
  <si>
    <t>\Iteration 31</t>
  </si>
  <si>
    <t>\Iteration 27</t>
  </si>
  <si>
    <t>\Iteration 26</t>
  </si>
  <si>
    <t>\Iteration 28</t>
  </si>
  <si>
    <t>\Iteration 29</t>
  </si>
  <si>
    <t>\Iteration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</si>
</sst>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);[Red]\(0.00\)"/>
    <numFmt numFmtId="177" formatCode="0.0_ ;[Red]\-0.0\ "/>
    <numFmt numFmtId="178" formatCode="0.00_ ;[Red]\-0.00\ "/>
  </numFmts>
  <fonts count="7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sz val="8"/>
      <color theme="4"/>
      <name val="メイリオ"/>
      <family val="3"/>
      <charset val="128"/>
    </font>
    <font>
      <sz val="8"/>
      <color theme="4"/>
      <name val="メイリオ"/>
      <family val="2"/>
      <charset val="128"/>
    </font>
    <font>
      <sz val="11"/>
      <color theme="0"/>
      <name val="メイリオ"/>
      <family val="3"/>
      <charset val="128"/>
    </font>
    <font>
      <sz val="11"/>
      <color theme="1"/>
      <name val="メイリオ"/>
      <family val="3"/>
    </font>
  </fonts>
  <fills count="1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A206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49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vertical="top" wrapText="1"/>
    </xf>
    <xf numFmtId="0" fontId="2" fillId="5" borderId="0" xfId="0" applyNumberFormat="1" applyFont="1" applyFill="1" applyAlignment="1">
      <alignment horizontal="left" vertical="top" wrapText="1"/>
    </xf>
    <xf numFmtId="0" fontId="2" fillId="8" borderId="0" xfId="0" applyNumberFormat="1" applyFont="1" applyFill="1" applyAlignment="1">
      <alignment vertical="top" wrapText="1"/>
    </xf>
    <xf numFmtId="0" fontId="2" fillId="7" borderId="0" xfId="0" applyNumberFormat="1" applyFont="1" applyFill="1" applyAlignment="1">
      <alignment vertical="top" wrapText="1"/>
    </xf>
    <xf numFmtId="0" fontId="2" fillId="2" borderId="0" xfId="0" applyNumberFormat="1" applyFont="1" applyFill="1" applyAlignment="1">
      <alignment vertical="top" wrapText="1"/>
    </xf>
    <xf numFmtId="0" fontId="2" fillId="4" borderId="0" xfId="0" applyNumberFormat="1" applyFont="1" applyFill="1" applyAlignment="1">
      <alignment vertical="top" wrapText="1"/>
    </xf>
    <xf numFmtId="0" fontId="2" fillId="5" borderId="0" xfId="0" applyNumberFormat="1" applyFont="1" applyFill="1" applyAlignment="1">
      <alignment vertical="top" wrapText="1"/>
    </xf>
    <xf numFmtId="0" fontId="2" fillId="6" borderId="0" xfId="0" applyNumberFormat="1" applyFont="1" applyFill="1" applyAlignment="1">
      <alignment vertical="top"/>
    </xf>
    <xf numFmtId="0" fontId="2" fillId="0" borderId="0" xfId="0" applyFont="1" applyAlignment="1">
      <alignment vertical="top"/>
    </xf>
    <xf numFmtId="1" fontId="2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2" fillId="0" borderId="0" xfId="0" applyNumberFormat="1" applyFont="1" applyAlignment="1">
      <alignment horizontal="left" vertical="center"/>
    </xf>
    <xf numFmtId="176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2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11" borderId="0" xfId="0" applyNumberFormat="1" applyFont="1" applyFill="1" applyAlignment="1">
      <alignment vertical="top" wrapText="1"/>
    </xf>
    <xf numFmtId="0" fontId="2" fillId="9" borderId="0" xfId="0" applyNumberFormat="1" applyFont="1" applyFill="1" applyAlignment="1">
      <alignment horizontal="left" vertical="top" wrapText="1"/>
    </xf>
    <xf numFmtId="0" fontId="2" fillId="10" borderId="0" xfId="0" applyNumberFormat="1" applyFont="1" applyFill="1" applyAlignment="1">
      <alignment vertical="top" wrapText="1"/>
    </xf>
    <xf numFmtId="0" fontId="2" fillId="9" borderId="0" xfId="0" applyNumberFormat="1" applyFont="1" applyFill="1" applyAlignment="1">
      <alignment vertical="top" wrapText="1"/>
    </xf>
    <xf numFmtId="0" fontId="0" fillId="0" borderId="0" xfId="0" applyFont="1">
      <alignment vertical="center"/>
    </xf>
    <xf numFmtId="0" fontId="0" fillId="3" borderId="0" xfId="0" applyFont="1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right" vertical="center" wrapText="1"/>
    </xf>
    <xf numFmtId="178" fontId="2" fillId="0" borderId="0" xfId="0" applyNumberFormat="1" applyFont="1" applyAlignment="1">
      <alignment horizontal="right" vertical="center"/>
    </xf>
    <xf numFmtId="0" fontId="5" fillId="6" borderId="0" xfId="0" applyNumberFormat="1" applyFont="1" applyFill="1" applyAlignment="1">
      <alignment horizontal="left" vertical="top"/>
    </xf>
    <xf numFmtId="0" fontId="5" fillId="7" borderId="0" xfId="0" applyNumberFormat="1" applyFont="1" applyFill="1" applyAlignment="1">
      <alignment horizontal="left" vertical="top" wrapText="1"/>
    </xf>
    <xf numFmtId="177" fontId="2" fillId="0" borderId="0" xfId="0" applyNumberFormat="1" applyFont="1">
      <alignment vertical="center"/>
    </xf>
    <xf numFmtId="177" fontId="2" fillId="0" borderId="0" xfId="0" applyNumberFormat="1" applyFont="1" applyAlignment="1">
      <alignment horizontal="left" vertical="center"/>
    </xf>
    <xf numFmtId="177" fontId="0" fillId="0" borderId="0" xfId="0" applyNumberFormat="1">
      <alignment vertical="center"/>
    </xf>
    <xf numFmtId="14" fontId="2" fillId="0" borderId="0" xfId="0" applyNumberFormat="1" applyFont="1">
      <alignment vertical="center"/>
    </xf>
    <xf numFmtId="0" fontId="2" fillId="12" borderId="0" xfId="0" applyFont="1" applyFill="1" applyAlignment="1">
      <alignment vertical="top"/>
    </xf>
    <xf numFmtId="0" fontId="6" fillId="0" borderId="0" xfId="0" applyNumberFormat="1" applyFont="1" applyAlignment="1">
      <alignment vertical="center" wrapText="1"/>
    </xf>
    <xf numFmtId="49" fontId="6" fillId="0" borderId="0" xfId="0" applyNumberFormat="1" applyFont="1">
      <alignment vertical="center"/>
    </xf>
    <xf numFmtId="0" fontId="6" fillId="0" borderId="0" xfId="0" applyNumberFormat="1" applyFont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6" formatCode="0.00_);[Red]\(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2" formatCode="0.00"/>
    </dxf>
    <dxf>
      <numFmt numFmtId="177" formatCode="0.0_ ;[Red]\-0.0\ "/>
    </dxf>
    <dxf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177" formatCode="0.0_ ;[Red]\-0.0\ 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family val="3"/>
        <charset val="128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6" formatCode="0.00_);[Red]\(0.0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8" formatCode="0.00_ ;[Red]\-0.00\ 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メイリオ"/>
        <scheme val="none"/>
      </font>
      <numFmt numFmtId="177" formatCode="0.0_ ;[Red]\-0.0\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family val="3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  <alignment horizontal="general" vertical="top" textRotation="0" indent="0" justifyLastLine="0" shrinkToFit="0" readingOrder="0"/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メイリオ"/>
        <scheme val="none"/>
      </font>
    </dxf>
  </dxfs>
  <tableStyles count="0" defaultTableStyle="TableStyleMedium2" defaultPivotStyle="PivotStyleLight16"/>
  <colors>
    <mruColors>
      <color rgb="FF336699"/>
      <color rgb="FF993300"/>
      <color rgb="FF0099FF"/>
      <color rgb="FF3366CC"/>
      <color rgb="FF3399FF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vanade-my.sharepoint.com/personal/shinichi_koga_avanade_com/Documents/Workspace/&#26696;&#20214;/@3%20JICA%20DC%20Migration/2016-05-16%20&#12473;&#12465;&#12472;&#12517;&#12540;&#12523;/cmmi-sample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inichi.koga\Desktop\2016-06-07%20ExportedTFS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VSTS_ValidationWS_1"/>
    </sheetNames>
    <sheetDataSet>
      <sheetData sheetId="0"/>
      <sheetData sheetId="1"/>
      <sheetData sheetId="2">
        <row r="1">
          <cell r="F1" t="str">
            <v>Bug</v>
          </cell>
          <cell r="H1" t="str">
            <v>ユーザーの選択</v>
          </cell>
          <cell r="I1" t="str">
            <v>Active</v>
          </cell>
          <cell r="AF1" t="str">
            <v>\</v>
          </cell>
          <cell r="AG1" t="str">
            <v>Proposed</v>
          </cell>
        </row>
        <row r="2">
          <cell r="F2" t="str">
            <v>Change Request</v>
          </cell>
          <cell r="H2" t="str">
            <v>Shinichi Koga</v>
          </cell>
          <cell r="I2" t="str">
            <v>Closed</v>
          </cell>
          <cell r="AF2" t="str">
            <v>\Iteration 0</v>
          </cell>
        </row>
        <row r="3">
          <cell r="F3" t="str">
            <v>Code Review Request</v>
          </cell>
          <cell r="I3" t="str">
            <v>Proposed</v>
          </cell>
          <cell r="AF3" t="str">
            <v>\Iteration 1</v>
          </cell>
        </row>
        <row r="4">
          <cell r="F4" t="str">
            <v>Code Review Response</v>
          </cell>
          <cell r="AF4" t="str">
            <v>\Iteration 2</v>
          </cell>
        </row>
        <row r="5">
          <cell r="F5" t="str">
            <v>Epic</v>
          </cell>
        </row>
        <row r="6">
          <cell r="F6" t="str">
            <v>Feature</v>
          </cell>
        </row>
        <row r="7">
          <cell r="F7" t="str">
            <v>Feedback Request</v>
          </cell>
        </row>
        <row r="8">
          <cell r="F8" t="str">
            <v>Feedback Response</v>
          </cell>
        </row>
        <row r="9">
          <cell r="F9" t="str">
            <v>Issue</v>
          </cell>
        </row>
        <row r="10">
          <cell r="F10" t="str">
            <v>Requirement</v>
          </cell>
        </row>
        <row r="11">
          <cell r="F11" t="str">
            <v>Review</v>
          </cell>
        </row>
        <row r="12">
          <cell r="F12" t="str">
            <v>Risk</v>
          </cell>
        </row>
        <row r="13">
          <cell r="F13" t="str">
            <v>Shared Parameter</v>
          </cell>
        </row>
        <row r="14">
          <cell r="F14" t="str">
            <v>Shared Steps</v>
          </cell>
        </row>
        <row r="15">
          <cell r="F15" t="str">
            <v>Task</v>
          </cell>
        </row>
        <row r="16">
          <cell r="F16" t="str">
            <v>Test Case</v>
          </cell>
        </row>
        <row r="17">
          <cell r="F17" t="str">
            <v>Test Plan</v>
          </cell>
        </row>
        <row r="18">
          <cell r="F18" t="str">
            <v>Test Suite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VSTS_ValidationWS_1"/>
    </sheetNames>
    <sheetDataSet>
      <sheetData sheetId="0" refreshError="1"/>
      <sheetData sheetId="1">
        <row r="1">
          <cell r="F1" t="str">
            <v>\</v>
          </cell>
          <cell r="U1" t="str">
            <v>ユーザーの選択</v>
          </cell>
          <cell r="V1" t="str">
            <v>Active</v>
          </cell>
        </row>
        <row r="2">
          <cell r="F2" t="str">
            <v>\Iteration 0</v>
          </cell>
          <cell r="U2" t="str">
            <v>hiroki.kamiyama</v>
          </cell>
          <cell r="V2" t="str">
            <v>Closed</v>
          </cell>
        </row>
        <row r="3">
          <cell r="F3" t="str">
            <v>\Iteration 1</v>
          </cell>
          <cell r="U3" t="str">
            <v>Koichi Kurihashi</v>
          </cell>
          <cell r="V3" t="str">
            <v>Proposed</v>
          </cell>
        </row>
        <row r="4">
          <cell r="F4" t="str">
            <v>\Iteration 2</v>
          </cell>
          <cell r="U4" t="str">
            <v>Shinichi Koga</v>
          </cell>
        </row>
        <row r="5">
          <cell r="F5" t="str">
            <v>\Iteration 3</v>
          </cell>
          <cell r="U5" t="str">
            <v>Takashi Shinohara</v>
          </cell>
        </row>
        <row r="6">
          <cell r="F6" t="str">
            <v>\Iteration 4</v>
          </cell>
        </row>
        <row r="7">
          <cell r="F7" t="str">
            <v>\Iteration 5</v>
          </cell>
        </row>
        <row r="8">
          <cell r="F8" t="str">
            <v>\Iteration 6</v>
          </cell>
        </row>
      </sheetData>
    </sheetDataSet>
  </externalBook>
</externalLink>
</file>

<file path=xl/tables/table1.xml><?xml version="1.0" encoding="utf-8"?>
<table xmlns="http://schemas.openxmlformats.org/spreadsheetml/2006/main" id="1" name="Iterations" displayName="Iterations" ref="A4:B37" totalsRowShown="0" headerRowDxfId="123" dataDxfId="122">
  <autoFilter ref="A4:B37"/>
  <sortState ref="A2:B7">
    <sortCondition ref="A1:A7"/>
  </sortState>
  <tableColumns count="2">
    <tableColumn id="1" name="Iteration Path" dataDxfId="121"/>
    <tableColumn id="2" name="Spent" dataDxfId="1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portedVSTSData" displayName="ExportedVSTSData" ref="A2:BD4" totalsRowCount="1" headerRowDxfId="114" dataDxfId="113" totalsRowDxfId="112">
  <autoFilter ref="A2:BD3"/>
  <tableColumns count="56">
    <tableColumn id="1" name="ID" dataDxfId="111" totalsRowDxfId="55"/>
    <tableColumn id="2" name="Work Item Type" dataDxfId="110" totalsRowDxfId="54"/>
    <tableColumn id="13" name="Iteration Path" dataDxfId="109" totalsRowDxfId="53"/>
    <tableColumn id="3" name="Title 1" dataDxfId="108" totalsRowDxfId="52"/>
    <tableColumn id="4" name="Title 2" dataDxfId="107" totalsRowDxfId="51"/>
    <tableColumn id="5" name="Title 3" dataDxfId="106" totalsRowDxfId="50"/>
    <tableColumn id="6" name="Title 4" dataDxfId="105" totalsRowDxfId="49"/>
    <tableColumn id="7" name="Assigned To" dataDxfId="104" totalsRowDxfId="48"/>
    <tableColumn id="8" name="State" dataDxfId="103" totalsRowDxfId="47"/>
    <tableColumn id="9" name="Tags" dataDxfId="102" totalsRowDxfId="46"/>
    <tableColumn id="10" name="Original Estimate" dataDxfId="101" totalsRowDxfId="45"/>
    <tableColumn id="11" name="Remaining Work" dataDxfId="100" totalsRowDxfId="44"/>
    <tableColumn id="12" name="Completed Work" dataDxfId="99" totalsRowDxfId="43"/>
    <tableColumn id="16" name="E-Title" dataDxfId="98" totalsRowDxfId="42">
      <calculatedColumnFormula>IF(ExportedVSTSData[[#This Row],[Work Item Type]]="","",IF(ExportedVSTSData[[#This Row],[Work Item Type]]="Epic",ExportedVSTSData[[#This Row],[Title 1]],N2))</calculatedColumnFormula>
    </tableColumn>
    <tableColumn id="55" name="E-BAC" totalsRowFunction="sum" dataDxfId="97" totalsRowDxfId="41">
      <calculatedColumnFormula>IF(ExportedVSTSData[[#This Row],[Work Item Type]]="Epic",SUMIF(ExportedVSTSData[E-Title],ExportedVSTSData[[#This Row],[E-Title]],ExportedVSTSData[F-BAC]),"-")</calculatedColumnFormula>
    </tableColumn>
    <tableColumn id="27" name="E-EV" totalsRowFunction="sum" dataDxfId="96" totalsRowDxfId="40">
      <calculatedColumnFormula>IF(ExportedVSTSData[[#This Row],[Work Item Type]]="Epic",SUMIF(ExportedVSTSData[E-Title],ExportedVSTSData[[#This Row],[E-Title]],ExportedVSTSData[F-EV]),"-")</calculatedColumnFormula>
    </tableColumn>
    <tableColumn id="28" name="E-AC" totalsRowFunction="sum" dataDxfId="95" totalsRowDxfId="39">
      <calculatedColumnFormula>IF(ExportedVSTSData[[#This Row],[Work Item Type]]="Epic",SUMIF(ExportedVSTSData[E-Title],ExportedVSTSData[[#This Row],[E-Title]],ExportedVSTSData[F-AC]),"-")</calculatedColumnFormula>
    </tableColumn>
    <tableColumn id="40" name="E-PV" totalsRowFunction="sum" dataDxfId="94" totalsRowDxfId="38">
      <calculatedColumnFormula>IF(ExportedVSTSData[[#This Row],[Work Item Type]]="Epic",SUMIF(ExportedVSTSData[E-Title],ExportedVSTSData[[#This Row],[E-Title]],ExportedVSTSData[F-PV]),"-")</calculatedColumnFormula>
    </tableColumn>
    <tableColumn id="41" name="E-SV" dataDxfId="93" totalsRowDxfId="37">
      <calculatedColumnFormula>IF(ExportedVSTSData[[#This Row],[Work Item Type]]="Epic",IF(ExportedVSTSData[[#This Row],[E-EV]]&lt;&gt;"(Active)",ExportedVSTSData[[#This Row],[E-EV]],0)-ExportedVSTSData[[#This Row],[E-PV]], "-")</calculatedColumnFormula>
    </tableColumn>
    <tableColumn id="42" name="E-CV" dataDxfId="92" totalsRowDxfId="36">
      <calculatedColumnFormula>IF(ExportedVSTSData[[#This Row],[Work Item Type]]="Epic",IF(ExportedVSTSData[[#This Row],[E-EV]]&lt;&gt;"(Active)",ExportedVSTSData[[#This Row],[E-EV]],0)-IF(ExportedVSTSData[[#This Row],[E-AC]]&lt;&gt;"(Active)",ExportedVSTSData[[#This Row],[E-AC]],0), "-")</calculatedColumnFormula>
    </tableColumn>
    <tableColumn id="53" name="E-EAC" totalsRowFunction="sum" dataDxfId="91" totalsRowDxfId="35">
      <calculatedColumnFormula>IF(ExportedVSTSData[[#This Row],[Work Item Type]]="Epic",SUMIF(ExportedVSTSData[E-Title],ExportedVSTSData[[#This Row],[E-Title]],ExportedVSTSData[F-EAC]),"-")</calculatedColumnFormula>
    </tableColumn>
    <tableColumn id="54" name="E-VAC" totalsRowFunction="sum" dataDxfId="90" totalsRowDxfId="34">
      <calculatedColumnFormula>IF(ExportedVSTSData[[#This Row],[Work Item Type]]="Epic",ExportedVSTSData[[#This Row],[E-BAC]]-ExportedVSTSData[[#This Row],[E-EAC]],"-")</calculatedColumnFormula>
    </tableColumn>
    <tableColumn id="29" name="E-CPI" dataDxfId="89" totalsRowDxfId="33">
      <calculatedColumnFormula>IF(ExportedVSTSData[[#This Row],[Work Item Type]]="Epic",IF(ExportedVSTSData[[#This Row],[E-AC]]&gt;0,ExportedVSTSData[[#This Row],[E-EV]]/ExportedVSTSData[[#This Row],[E-AC]],"(Active)"), "-")</calculatedColumnFormula>
    </tableColumn>
    <tableColumn id="43" name="E-SPI" dataDxfId="88" totalsRowDxfId="32">
      <calculatedColumnFormula>IF(ExportedVSTSData[[#This Row],[Work Item Type]]="Epic",IF(ExportedVSTSData[[#This Row],[E-PV]]=0,1,ExportedVSTSData[[#This Row],[E-EV]]/ExportedVSTSData[[#This Row],[E-PV]]), "-")</calculatedColumnFormula>
    </tableColumn>
    <tableColumn id="15" name="F-Title" dataDxfId="87" totalsRowDxfId="31">
      <calculatedColumnFormula>IF(ExportedVSTSData[[#This Row],[Work Item Type]]="","",IF(ExportedVSTSData[[#This Row],[Work Item Type]]="Epic","-",IF(ExportedVSTSData[[#This Row],[Work Item Type]]="Feature",ExportedVSTSData[[#This Row],[Title 2]],Y2)))</calculatedColumnFormula>
    </tableColumn>
    <tableColumn id="52" name="F-BAC" totalsRowFunction="sum" dataDxfId="86" totalsRowDxfId="30">
      <calculatedColumnFormula>IF(ExportedVSTSData[[#This Row],[Work Item Type]]="Feature",SUMIF(ExportedVSTSData[F-Title],ExportedVSTSData[[#This Row],[F-Title]],ExportedVSTSData[R-BAC]),"-")</calculatedColumnFormula>
    </tableColumn>
    <tableColumn id="24" name="F-EV" totalsRowFunction="sum" dataDxfId="85" totalsRowDxfId="29">
      <calculatedColumnFormula>IF(ExportedVSTSData[[#This Row],[Work Item Type]]="Feature",SUMIF(ExportedVSTSData[F-Title],ExportedVSTSData[[#This Row],[F-Title]],ExportedVSTSData[R-EV]),"-")</calculatedColumnFormula>
    </tableColumn>
    <tableColumn id="25" name="F-AC" totalsRowFunction="sum" dataDxfId="84" totalsRowDxfId="28">
      <calculatedColumnFormula>IF(ExportedVSTSData[[#This Row],[Work Item Type]]="Feature",SUMIF(ExportedVSTSData[F-Title],ExportedVSTSData[[#This Row],[F-Title]],ExportedVSTSData[R-AC]),"-")</calculatedColumnFormula>
    </tableColumn>
    <tableColumn id="21" name="F-PV" totalsRowFunction="sum" dataDxfId="83" totalsRowDxfId="27">
      <calculatedColumnFormula>IF(ExportedVSTSData[[#This Row],[Work Item Type]]="Feature",SUMIF(ExportedVSTSData[F-Title],ExportedVSTSData[[#This Row],[F-Title]],ExportedVSTSData[R-PV]),"-")</calculatedColumnFormula>
    </tableColumn>
    <tableColumn id="35" name="F-SV" dataDxfId="82" totalsRowDxfId="26">
      <calculatedColumnFormula>IF(ExportedVSTSData[[#This Row],[Work Item Type]]="Feature",IF(ExportedVSTSData[[#This Row],[F-EV]]&gt;0,ExportedVSTSData[[#This Row],[F-EV]],0)-ExportedVSTSData[[#This Row],[F-PV]], "-")</calculatedColumnFormula>
    </tableColumn>
    <tableColumn id="36" name="F-CV" dataDxfId="81" totalsRowDxfId="25">
      <calculatedColumnFormula>IF(ExportedVSTSData[[#This Row],[Work Item Type]]="Feature",IF(ExportedVSTSData[[#This Row],[F-EV]]&gt;0,ExportedVSTSData[[#This Row],[F-EV]],0)-IF(ExportedVSTSData[[#This Row],[F-AC]]&lt;&gt;"(Active)",ExportedVSTSData[[#This Row],[F-AC]],0), "-")</calculatedColumnFormula>
    </tableColumn>
    <tableColumn id="49" name="F-EAC" totalsRowFunction="sum" dataDxfId="80" totalsRowDxfId="24">
      <calculatedColumnFormula>IF(ExportedVSTSData[[#This Row],[Work Item Type]]="Feature",SUMIF(ExportedVSTSData[F-Title],ExportedVSTSData[[#This Row],[F-Title]],ExportedVSTSData[R-EAC]),"-")</calculatedColumnFormula>
    </tableColumn>
    <tableColumn id="50" name="F-VAC" totalsRowFunction="sum" dataDxfId="79" totalsRowDxfId="23">
      <calculatedColumnFormula>IF(ExportedVSTSData[[#This Row],[Work Item Type]]="Feature",ExportedVSTSData[[#This Row],[F-BAC]]-ExportedVSTSData[[#This Row],[F-EAC]],"-")</calculatedColumnFormula>
    </tableColumn>
    <tableColumn id="26" name="F-CPI" dataDxfId="78" totalsRowDxfId="22">
      <calculatedColumnFormula>IF(ExportedVSTSData[[#This Row],[Work Item Type]]="Feature",IF(ExportedVSTSData[[#This Row],[F-AC]]&gt;0,ExportedVSTSData[[#This Row],[F-EV]]/ExportedVSTSData[[#This Row],[F-AC]],"(Active)"), "-")</calculatedColumnFormula>
    </tableColumn>
    <tableColumn id="39" name="F-SPI" dataDxfId="77" totalsRowDxfId="21">
      <calculatedColumnFormula>IF(ExportedVSTSData[[#This Row],[Work Item Type]]="Feature",IF(ExportedVSTSData[[#This Row],[F-EV]]&lt;&gt;"(Acvite)",IF(ExportedVSTSData[[#This Row],[F-PV]]=0,1,ExportedVSTSData[[#This Row],[F-EV]]/ExportedVSTSData[[#This Row],[F-PV]]),0), "-")</calculatedColumnFormula>
    </tableColumn>
    <tableColumn id="14" name="R-Title" dataDxfId="76" totalsRowDxfId="20">
      <calculatedColumnFormula>IF(ExportedVSTSData[[#This Row],[Work Item Type]]="","",IF(ExportedVSTSData[[#This Row],[Work Item Type]]="Epic","-",IF(ExportedVSTSData[[#This Row],[Work Item Type]]="Feature","-", IF(ExportedVSTSData[[#This Row],[Work Item Type]]="Requirement",ExportedVSTSData[[#This Row],[Title 3]],AJ2))))</calculatedColumnFormula>
    </tableColumn>
    <tableColumn id="51" name="R-BAC" totalsRowFunction="sum" dataDxfId="75" totalsRowDxfId="19">
      <calculatedColumnFormula>IF(ExportedVSTSData[[#This Row],[Work Item Type]]="Requirement", ExportedVSTSData[[#This Row],[Original Estimate]], "-")</calculatedColumnFormula>
    </tableColumn>
    <tableColumn id="23" name="R-EV" totalsRowFunction="sum" dataDxfId="74" totalsRowDxfId="18">
      <calculatedColumnFormula>IF(ExportedVSTSData[[#This Row],[Work Item Type]]="Requirement",IF(ExportedVSTSData[[#This Row],[State]]="Closed", ExportedVSTSData[[#This Row],[Original Estimate]], "(Active)"), "-")</calculatedColumnFormula>
    </tableColumn>
    <tableColumn id="20" name="R-AC" totalsRowFunction="sum" dataDxfId="73" totalsRowDxfId="17">
      <calculatedColumnFormula>IF(ExportedVSTSData[[#This Row],[Work Item Type]]="Requirement",IF(ExportedVSTSData[[#This Row],[State]]="Closed",SUMIF(ExportedVSTSData[R-Title],ExportedVSTSData[[#This Row],[R-Title]],ExportedVSTSData[Completed Work]),"(Active)"), "-")</calculatedColumnFormula>
    </tableColumn>
    <tableColumn id="22" name="R-PV" totalsRowFunction="sum" dataDxfId="72" totalsRowDxfId="16">
      <calculatedColumnFormula>IF(ExportedVSTSData[[#This Row],[Work Item Type]]="Requirement",IF(ExportedVSTSData[[#This Row],[Spent]]=TRUE,ExportedVSTSData[[#This Row],[Original Estimate]],0), "-")</calculatedColumnFormula>
    </tableColumn>
    <tableColumn id="32" name="R-SV" dataDxfId="71" totalsRowDxfId="15">
      <calculatedColumnFormula>IF(ExportedVSTSData[[#This Row],[Work Item Type]]="Requirement",IF(ExportedVSTSData[[#This Row],[R-EV]]&lt;&gt;"(Active)",ExportedVSTSData[[#This Row],[R-EV]],0)-ExportedVSTSData[[#This Row],[R-PV]], "-")</calculatedColumnFormula>
    </tableColumn>
    <tableColumn id="33" name="R-CV" dataDxfId="70" totalsRowDxfId="14">
      <calculatedColumnFormula>IF(ExportedVSTSData[[#This Row],[Work Item Type]]="Requirement",IF(ExportedVSTSData[[#This Row],[R-EV]]&lt;&gt;"(Active)",ExportedVSTSData[[#This Row],[R-EV]],0)-IF(ExportedVSTSData[[#This Row],[R-AC]]&lt;&gt;"(Active)",ExportedVSTSData[[#This Row],[R-AC]],0), "-")</calculatedColumnFormula>
    </tableColumn>
    <tableColumn id="38" name="R-EAC" totalsRowFunction="sum" dataDxfId="69" totalsRowDxfId="13">
      <calculatedColumnFormula>IF(ExportedVSTSData[[#This Row],[Work Item Type]]="Requirement",IF(ExportedVSTSData[[#This Row],[State]]="Closed",ExportedVSTSData[[#This Row],[R-AC]],ExportedVSTSData[[#This Row],[R-BAC]]), "-")</calculatedColumnFormula>
    </tableColumn>
    <tableColumn id="47" name="R-VAC" totalsRowFunction="sum" dataDxfId="68" totalsRowDxfId="12">
      <calculatedColumnFormula>IF(ExportedVSTSData[[#This Row],[Work Item Type]]="Requirement",ExportedVSTSData[[#This Row],[R-BAC]]-ExportedVSTSData[[#This Row],[R-EAC]], "-")</calculatedColumnFormula>
    </tableColumn>
    <tableColumn id="19" name="R-CPI" dataDxfId="67" totalsRowDxfId="11">
      <calculatedColumnFormula>IF(ExportedVSTSData[[#This Row],[Work Item Type]]="Requirement",IF(ExportedVSTSData[[#This Row],[State]]="Closed",IF(ExportedVSTSData[[#This Row],[R-AC]]=0,ExportedVSTSData[[#This Row],[R-EV]]/0.01,ExportedVSTSData[[#This Row],[R-EV]]/ExportedVSTSData[[#This Row],[R-AC]]),"(Active)"), "-")</calculatedColumnFormula>
    </tableColumn>
    <tableColumn id="34" name="R-SPI" dataDxfId="66" totalsRowDxfId="10">
      <calculatedColumnFormula>IF(ExportedVSTSData[[#This Row],[Work Item Type]]="Requirement",IF(ExportedVSTSData[[#This Row],[R-EV]]&lt;&gt;"(Active)",IF(ExportedVSTSData[[#This Row],[R-PV]]=0,1,ExportedVSTSData[[#This Row],[R-EV]]/ExportedVSTSData[[#This Row],[R-PV]]),0), "-")</calculatedColumnFormula>
    </tableColumn>
    <tableColumn id="37" name="T-Title" dataDxfId="65" totalsRowDxfId="9">
      <calculatedColumnFormula>IF(OR(ExportedVSTSData[[#This Row],[Work Item Type]]="Task",ExportedVSTSData[[#This Row],[Work Item Type]]="Bug"),ExportedVSTSData[[#This Row],[Title 4]],"-")</calculatedColumnFormula>
    </tableColumn>
    <tableColumn id="30" name="T-EV" totalsRowFunction="sum" dataDxfId="64" totalsRowDxfId="8">
      <calculatedColumnFormula>IF(OR(ExportedVSTSData[[#This Row],[Work Item Type]]="Task",ExportedVSTSData[[#This Row],[Work Item Type]]="Bug"),IF(ExportedVSTSData[[#This Row],[State]]="Closed",ExportedVSTSData[[#This Row],[Original Estimate]],"(Active)"),"-")</calculatedColumnFormula>
    </tableColumn>
    <tableColumn id="31" name="T-AC" totalsRowFunction="sum" dataDxfId="63" totalsRowDxfId="7">
      <calculatedColumnFormula>IF(OR(ExportedVSTSData[[#This Row],[Work Item Type]]="Task",ExportedVSTSData[[#This Row],[Work Item Type]]="Bug"),IF(ExportedVSTSData[[#This Row],[State]]="Closed",ExportedVSTSData[[#This Row],[Completed Work]],"(Active)"),"-")</calculatedColumnFormula>
    </tableColumn>
    <tableColumn id="44" name="T-PV" totalsRowFunction="sum" dataDxfId="62" totalsRowDxfId="6">
      <calculatedColumnFormula>IF(OR(ExportedVSTSData[[#This Row],[Work Item Type]]="Task",ExportedVSTSData[[#This Row],[Work Item Type]]="Bug"),IF(ExportedVSTSData[[#This Row],[Spent]]=TRUE,ExportedVSTSData[[#This Row],[Original Estimate]],0), "-")</calculatedColumnFormula>
    </tableColumn>
    <tableColumn id="45" name="T-SV" dataDxfId="61" totalsRowDxfId="5">
      <calculatedColumnFormula>IF(OR(ExportedVSTSData[[#This Row],[Work Item Type]]="Task",ExportedVSTSData[[#This Row],[Work Item Type]]="Bug"),IF(ExportedVSTSData[[#This Row],[T-EV]]&lt;&gt;"(Active)",ExportedVSTSData[[#This Row],[T-EV]],0)-ExportedVSTSData[[#This Row],[T-PV]], "-")</calculatedColumnFormula>
    </tableColumn>
    <tableColumn id="46" name="T-CV" dataDxfId="60" totalsRowDxfId="4">
      <calculatedColumnFormula>IF(OR(ExportedVSTSData[[#This Row],[Work Item Type]]="Task",ExportedVSTSData[[#This Row],[Work Item Type]]="Bug"),IF(ExportedVSTSData[[#This Row],[T-EV]]&lt;&gt;"(Active)",ExportedVSTSData[[#This Row],[T-EV]],0)-IF(ExportedVSTSData[[#This Row],[T-AC]]&lt;&gt;"(Active)",ExportedVSTSData[[#This Row],[T-AC]],0), "-")</calculatedColumnFormula>
    </tableColumn>
    <tableColumn id="18" name="T-CPI" dataDxfId="59" totalsRowDxfId="3">
      <calculatedColumnFormula>IF(OR(ExportedVSTSData[[#This Row],[Work Item Type]]="Task",ExportedVSTSData[[#This Row],[Work Item Type]]="Bug"),IF(ExportedVSTSData[[#This Row],[State]]="Closed",IF(ExportedVSTSData[[#This Row],[T-AC]]=0,ExportedVSTSData[[#This Row],[T-EV]]/0.01,ExportedVSTSData[[#This Row],[T-EV]]/ExportedVSTSData[[#This Row],[T-AC]]),"(Active)"), "-")</calculatedColumnFormula>
    </tableColumn>
    <tableColumn id="48" name="T-SPI" dataDxfId="58" totalsRowDxfId="2">
      <calculatedColumnFormula>IF(OR(ExportedVSTSData[[#This Row],[Work Item Type]]="Task",ExportedVSTSData[[#This Row],[Work Item Type]]="Bug"),IF(ExportedVSTSData[[#This Row],[State]]="Closed", 1, IF(ExportedVSTSData[[#This Row],[Spent]]=TRUE, 0, 1)), "-")</calculatedColumnFormula>
    </tableColumn>
    <tableColumn id="17" name="Spent" dataDxfId="57" totalsRowDxfId="1">
      <calculatedColumnFormula>IF(ExportedVSTSData[[#This Row],[Iteration Path]]&lt;&gt;"",VLOOKUP(ExportedVSTSData[[#This Row],[Iteration Path]],Iterations[#Data],2,FALSE),"-")</calculatedColumnFormula>
    </tableColumn>
    <tableColumn id="56" name="Data Date" dataDxfId="56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tabSelected="1" zoomScale="90" zoomScaleNormal="90" workbookViewId="0">
      <selection activeCell="B6" sqref="B6"/>
    </sheetView>
  </sheetViews>
  <sheetFormatPr defaultRowHeight="18.75" outlineLevelRow="1" x14ac:dyDescent="0.45"/>
  <cols>
    <col min="1" max="1" width="33.33203125" style="25" customWidth="1"/>
    <col min="2" max="2" width="18.5546875" style="25" bestFit="1" customWidth="1"/>
    <col min="3" max="16384" width="8.88671875" style="25"/>
  </cols>
  <sheetData>
    <row r="1" spans="1:2" x14ac:dyDescent="0.45">
      <c r="A1" s="28" t="s">
        <v>61</v>
      </c>
      <c r="B1" s="27" t="s">
        <v>62</v>
      </c>
    </row>
    <row r="2" spans="1:2" hidden="1" outlineLevel="1" x14ac:dyDescent="0.45">
      <c r="B2" s="25" t="b">
        <v>0</v>
      </c>
    </row>
    <row r="3" spans="1:2" hidden="1" outlineLevel="1" x14ac:dyDescent="0.45">
      <c r="B3" s="25" t="b">
        <v>1</v>
      </c>
    </row>
    <row r="4" spans="1:2" collapsed="1" x14ac:dyDescent="0.45">
      <c r="A4" s="25" t="s">
        <v>0</v>
      </c>
      <c r="B4" s="26" t="s">
        <v>1</v>
      </c>
    </row>
    <row r="5" spans="1:2" x14ac:dyDescent="0.45">
      <c r="A5" s="25" t="s">
        <v>2</v>
      </c>
      <c r="B5" s="25" t="b">
        <v>0</v>
      </c>
    </row>
    <row r="6" spans="1:2" x14ac:dyDescent="0.45">
      <c r="A6" s="25" t="s">
        <v>3</v>
      </c>
      <c r="B6" s="25" t="b">
        <v>0</v>
      </c>
    </row>
    <row r="7" spans="1:2" x14ac:dyDescent="0.45">
      <c r="A7" s="25" t="s">
        <v>4</v>
      </c>
      <c r="B7" s="25" t="b">
        <v>0</v>
      </c>
    </row>
    <row r="8" spans="1:2" x14ac:dyDescent="0.45">
      <c r="A8" s="25" t="s">
        <v>5</v>
      </c>
      <c r="B8" s="25" t="b">
        <v>0</v>
      </c>
    </row>
    <row r="9" spans="1:2" x14ac:dyDescent="0.45">
      <c r="A9" s="25" t="s">
        <v>6</v>
      </c>
      <c r="B9" s="25" t="b">
        <v>0</v>
      </c>
    </row>
    <row r="10" spans="1:2" x14ac:dyDescent="0.45">
      <c r="A10" s="25" t="s">
        <v>7</v>
      </c>
      <c r="B10" s="25" t="b">
        <v>0</v>
      </c>
    </row>
    <row r="11" spans="1:2" x14ac:dyDescent="0.45">
      <c r="A11" s="25" t="s">
        <v>8</v>
      </c>
      <c r="B11" s="25" t="b">
        <v>0</v>
      </c>
    </row>
    <row r="12" spans="1:2" x14ac:dyDescent="0.45">
      <c r="A12" s="25" t="s">
        <v>69</v>
      </c>
      <c r="B12" s="25" t="b">
        <v>0</v>
      </c>
    </row>
    <row r="13" spans="1:2" x14ac:dyDescent="0.45">
      <c r="A13" s="25" t="s">
        <v>70</v>
      </c>
      <c r="B13" s="25" t="b">
        <v>0</v>
      </c>
    </row>
    <row r="14" spans="1:2" x14ac:dyDescent="0.45">
      <c r="A14" s="25" t="s">
        <v>71</v>
      </c>
      <c r="B14" s="25" t="b">
        <v>0</v>
      </c>
    </row>
    <row r="15" spans="1:2" x14ac:dyDescent="0.45">
      <c r="A15" s="16" t="s">
        <v>72</v>
      </c>
      <c r="B15" s="25" t="b">
        <v>0</v>
      </c>
    </row>
    <row r="16" spans="1:2" x14ac:dyDescent="0.45">
      <c r="A16" s="16" t="s">
        <v>73</v>
      </c>
      <c r="B16" s="25" t="b">
        <v>0</v>
      </c>
    </row>
    <row r="17" spans="1:2" x14ac:dyDescent="0.45">
      <c r="A17" s="16" t="s">
        <v>74</v>
      </c>
      <c r="B17" s="25" t="b">
        <v>0</v>
      </c>
    </row>
    <row r="18" spans="1:2" x14ac:dyDescent="0.45">
      <c r="A18" s="16" t="s">
        <v>75</v>
      </c>
      <c r="B18" s="25" t="b">
        <v>0</v>
      </c>
    </row>
    <row r="19" spans="1:2" x14ac:dyDescent="0.45">
      <c r="A19" s="16" t="s">
        <v>76</v>
      </c>
      <c r="B19" s="25" t="b">
        <v>0</v>
      </c>
    </row>
    <row r="20" spans="1:2" x14ac:dyDescent="0.45">
      <c r="A20" s="16" t="s">
        <v>78</v>
      </c>
      <c r="B20" s="25" t="b">
        <v>0</v>
      </c>
    </row>
    <row r="21" spans="1:2" x14ac:dyDescent="0.45">
      <c r="A21" s="16" t="s">
        <v>87</v>
      </c>
      <c r="B21" s="25" t="b">
        <v>0</v>
      </c>
    </row>
    <row r="22" spans="1:2" x14ac:dyDescent="0.45">
      <c r="A22" s="16" t="s">
        <v>86</v>
      </c>
      <c r="B22" s="25" t="b">
        <v>0</v>
      </c>
    </row>
    <row r="23" spans="1:2" x14ac:dyDescent="0.45">
      <c r="A23" s="16" t="s">
        <v>85</v>
      </c>
      <c r="B23" s="25" t="b">
        <v>0</v>
      </c>
    </row>
    <row r="24" spans="1:2" x14ac:dyDescent="0.45">
      <c r="A24" s="16" t="s">
        <v>84</v>
      </c>
      <c r="B24" s="25" t="b">
        <v>0</v>
      </c>
    </row>
    <row r="25" spans="1:2" x14ac:dyDescent="0.45">
      <c r="A25" s="16" t="s">
        <v>83</v>
      </c>
      <c r="B25" s="25" t="b">
        <v>0</v>
      </c>
    </row>
    <row r="26" spans="1:2" x14ac:dyDescent="0.45">
      <c r="A26" s="16" t="s">
        <v>82</v>
      </c>
      <c r="B26" s="25" t="b">
        <v>0</v>
      </c>
    </row>
    <row r="27" spans="1:2" x14ac:dyDescent="0.45">
      <c r="A27" s="16" t="s">
        <v>79</v>
      </c>
      <c r="B27" s="25" t="b">
        <v>0</v>
      </c>
    </row>
    <row r="28" spans="1:2" x14ac:dyDescent="0.45">
      <c r="A28" s="16" t="s">
        <v>77</v>
      </c>
      <c r="B28" s="25" t="b">
        <v>0</v>
      </c>
    </row>
    <row r="29" spans="1:2" x14ac:dyDescent="0.45">
      <c r="A29" s="16" t="s">
        <v>81</v>
      </c>
      <c r="B29" s="25" t="b">
        <v>0</v>
      </c>
    </row>
    <row r="30" spans="1:2" x14ac:dyDescent="0.45">
      <c r="A30" s="16" t="s">
        <v>88</v>
      </c>
      <c r="B30" s="25" t="b">
        <v>0</v>
      </c>
    </row>
    <row r="31" spans="1:2" x14ac:dyDescent="0.45">
      <c r="A31" s="16" t="s">
        <v>80</v>
      </c>
      <c r="B31" s="25" t="b">
        <v>0</v>
      </c>
    </row>
    <row r="32" spans="1:2" x14ac:dyDescent="0.45">
      <c r="A32" s="16" t="s">
        <v>91</v>
      </c>
      <c r="B32" s="25" t="b">
        <v>0</v>
      </c>
    </row>
    <row r="33" spans="1:2" x14ac:dyDescent="0.45">
      <c r="A33" s="16" t="s">
        <v>90</v>
      </c>
      <c r="B33" s="25" t="b">
        <v>0</v>
      </c>
    </row>
    <row r="34" spans="1:2" x14ac:dyDescent="0.45">
      <c r="A34" s="16" t="s">
        <v>92</v>
      </c>
      <c r="B34" s="25" t="b">
        <v>0</v>
      </c>
    </row>
    <row r="35" spans="1:2" x14ac:dyDescent="0.45">
      <c r="A35" s="16" t="s">
        <v>93</v>
      </c>
      <c r="B35" s="25" t="b">
        <v>0</v>
      </c>
    </row>
    <row r="36" spans="1:2" x14ac:dyDescent="0.45">
      <c r="A36" s="16" t="s">
        <v>94</v>
      </c>
      <c r="B36" s="25" t="b">
        <v>0</v>
      </c>
    </row>
    <row r="37" spans="1:2" x14ac:dyDescent="0.45">
      <c r="A37" s="16" t="s">
        <v>89</v>
      </c>
      <c r="B37" s="25" t="b">
        <v>0</v>
      </c>
    </row>
  </sheetData>
  <phoneticPr fontId="1"/>
  <dataValidations count="1">
    <dataValidation type="list" allowBlank="1" showInputMessage="1" showErrorMessage="1" sqref="B5:B37">
      <formula1>$B$2:$B$3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4"/>
  <sheetViews>
    <sheetView zoomScale="80" zoomScaleNormal="80" workbookViewId="0">
      <selection activeCell="A3" sqref="A3"/>
    </sheetView>
  </sheetViews>
  <sheetFormatPr defaultColWidth="19.77734375" defaultRowHeight="18.75" outlineLevelCol="1" x14ac:dyDescent="0.45"/>
  <cols>
    <col min="1" max="1" width="6" style="16" bestFit="1" customWidth="1"/>
    <col min="2" max="2" width="18.33203125" style="16" customWidth="1"/>
    <col min="3" max="3" width="16.88671875" style="16" hidden="1" customWidth="1" outlineLevel="1"/>
    <col min="4" max="5" width="9.44140625" style="16" hidden="1" customWidth="1" outlineLevel="1"/>
    <col min="6" max="6" width="34.88671875" style="16" hidden="1" customWidth="1" outlineLevel="1"/>
    <col min="7" max="7" width="25.77734375" style="16" hidden="1" customWidth="1" outlineLevel="1"/>
    <col min="8" max="8" width="17.33203125" style="16" hidden="1" customWidth="1" outlineLevel="1"/>
    <col min="9" max="9" width="8.44140625" style="16" hidden="1" customWidth="1" outlineLevel="1"/>
    <col min="10" max="10" width="8.21875" style="16" hidden="1" customWidth="1" outlineLevel="1"/>
    <col min="11" max="11" width="20.44140625" style="16" hidden="1" customWidth="1" outlineLevel="1"/>
    <col min="12" max="12" width="19.5546875" style="16" hidden="1" customWidth="1" outlineLevel="1"/>
    <col min="13" max="13" width="19.44140625" style="16" hidden="1" customWidth="1" outlineLevel="1"/>
    <col min="14" max="14" width="17.44140625" style="19" bestFit="1" customWidth="1" collapsed="1"/>
    <col min="15" max="15" width="9.44140625" style="19" hidden="1" customWidth="1" outlineLevel="1"/>
    <col min="16" max="22" width="8.21875" style="16" hidden="1" customWidth="1" outlineLevel="1"/>
    <col min="23" max="23" width="8.88671875" style="16" bestFit="1" customWidth="1" collapsed="1"/>
    <col min="24" max="24" width="8.88671875" style="16" bestFit="1" customWidth="1"/>
    <col min="25" max="25" width="9.5546875" style="19" bestFit="1" customWidth="1"/>
    <col min="26" max="26" width="9.33203125" style="16" hidden="1" customWidth="1" outlineLevel="1"/>
    <col min="27" max="31" width="8" style="16" hidden="1" customWidth="1" outlineLevel="1"/>
    <col min="32" max="32" width="9.109375" style="16" hidden="1" customWidth="1" outlineLevel="1"/>
    <col min="33" max="33" width="9.33203125" style="16" hidden="1" customWidth="1" outlineLevel="1"/>
    <col min="34" max="34" width="8.77734375" style="16" bestFit="1" customWidth="1" collapsed="1"/>
    <col min="35" max="35" width="8.77734375" style="16" bestFit="1" customWidth="1"/>
    <col min="36" max="36" width="34.88671875" style="19" bestFit="1" customWidth="1"/>
    <col min="37" max="37" width="9.5546875" style="16" hidden="1" customWidth="1" outlineLevel="1"/>
    <col min="38" max="42" width="8.33203125" style="16" hidden="1" customWidth="1" outlineLevel="1"/>
    <col min="43" max="43" width="9.44140625" style="16" hidden="1" customWidth="1" outlineLevel="1"/>
    <col min="44" max="44" width="9.5546875" style="16" hidden="1" customWidth="1" outlineLevel="1"/>
    <col min="45" max="45" width="9" style="16" bestFit="1" customWidth="1" collapsed="1"/>
    <col min="46" max="46" width="9" style="16" bestFit="1" customWidth="1"/>
    <col min="47" max="47" width="43.77734375" style="19" bestFit="1" customWidth="1"/>
    <col min="48" max="52" width="8.21875" style="16" hidden="1" customWidth="1" outlineLevel="1"/>
    <col min="53" max="54" width="8.88671875" style="16" hidden="1" customWidth="1" outlineLevel="1"/>
    <col min="55" max="55" width="8.88671875" style="16" bestFit="1" customWidth="1" collapsed="1"/>
    <col min="56" max="56" width="13.44140625" style="16" bestFit="1" customWidth="1"/>
    <col min="57" max="16384" width="19.77734375" style="16"/>
  </cols>
  <sheetData>
    <row r="1" spans="1:56" x14ac:dyDescent="0.45">
      <c r="A1" s="27" t="s">
        <v>60</v>
      </c>
      <c r="N1" s="19" t="s">
        <v>59</v>
      </c>
      <c r="BD1" s="27" t="s">
        <v>68</v>
      </c>
    </row>
    <row r="2" spans="1:56" s="10" customFormat="1" x14ac:dyDescent="0.45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2" t="s">
        <v>19</v>
      </c>
      <c r="L2" s="2" t="s">
        <v>20</v>
      </c>
      <c r="M2" s="2" t="s">
        <v>21</v>
      </c>
      <c r="N2" s="32" t="s">
        <v>58</v>
      </c>
      <c r="O2" s="21" t="s">
        <v>63</v>
      </c>
      <c r="P2" s="21" t="s">
        <v>48</v>
      </c>
      <c r="Q2" s="21" t="s">
        <v>49</v>
      </c>
      <c r="R2" s="21" t="s">
        <v>50</v>
      </c>
      <c r="S2" s="21" t="s">
        <v>51</v>
      </c>
      <c r="T2" s="21" t="s">
        <v>52</v>
      </c>
      <c r="U2" s="21" t="s">
        <v>64</v>
      </c>
      <c r="V2" s="21" t="s">
        <v>65</v>
      </c>
      <c r="W2" s="9" t="s">
        <v>53</v>
      </c>
      <c r="X2" s="9" t="s">
        <v>54</v>
      </c>
      <c r="Y2" s="3" t="s">
        <v>55</v>
      </c>
      <c r="Z2" s="7" t="s">
        <v>39</v>
      </c>
      <c r="AA2" s="7" t="s">
        <v>40</v>
      </c>
      <c r="AB2" s="7" t="s">
        <v>41</v>
      </c>
      <c r="AC2" s="7" t="s">
        <v>42</v>
      </c>
      <c r="AD2" s="7" t="s">
        <v>43</v>
      </c>
      <c r="AE2" s="7" t="s">
        <v>44</v>
      </c>
      <c r="AF2" s="7" t="s">
        <v>66</v>
      </c>
      <c r="AG2" s="7" t="s">
        <v>45</v>
      </c>
      <c r="AH2" s="8" t="s">
        <v>46</v>
      </c>
      <c r="AI2" s="8" t="s">
        <v>47</v>
      </c>
      <c r="AJ2" s="22" t="s">
        <v>56</v>
      </c>
      <c r="AK2" s="23" t="s">
        <v>29</v>
      </c>
      <c r="AL2" s="23" t="s">
        <v>30</v>
      </c>
      <c r="AM2" s="23" t="s">
        <v>31</v>
      </c>
      <c r="AN2" s="23" t="s">
        <v>32</v>
      </c>
      <c r="AO2" s="23" t="s">
        <v>33</v>
      </c>
      <c r="AP2" s="23" t="s">
        <v>34</v>
      </c>
      <c r="AQ2" s="23" t="s">
        <v>35</v>
      </c>
      <c r="AR2" s="23" t="s">
        <v>36</v>
      </c>
      <c r="AS2" s="24" t="s">
        <v>37</v>
      </c>
      <c r="AT2" s="24" t="s">
        <v>38</v>
      </c>
      <c r="AU2" s="33" t="s">
        <v>57</v>
      </c>
      <c r="AV2" s="4" t="s">
        <v>22</v>
      </c>
      <c r="AW2" s="4" t="s">
        <v>23</v>
      </c>
      <c r="AX2" s="4" t="s">
        <v>24</v>
      </c>
      <c r="AY2" s="5" t="s">
        <v>25</v>
      </c>
      <c r="AZ2" s="5" t="s">
        <v>26</v>
      </c>
      <c r="BA2" s="5" t="s">
        <v>27</v>
      </c>
      <c r="BB2" s="5" t="s">
        <v>28</v>
      </c>
      <c r="BC2" s="6" t="s">
        <v>1</v>
      </c>
      <c r="BD2" s="38" t="s">
        <v>67</v>
      </c>
    </row>
    <row r="3" spans="1:56" x14ac:dyDescent="0.45">
      <c r="A3" s="11"/>
      <c r="B3" s="12"/>
      <c r="C3" s="12"/>
      <c r="D3" s="12"/>
      <c r="E3" s="13"/>
      <c r="F3" s="13"/>
      <c r="G3" s="39"/>
      <c r="H3" s="40"/>
      <c r="I3" s="40"/>
      <c r="J3" s="41"/>
      <c r="K3" s="13"/>
      <c r="L3" s="13"/>
      <c r="M3" s="13"/>
      <c r="N3" s="14" t="str">
        <f>IF(ExportedVSTSData[[#This Row],[Work Item Type]]="","",IF(ExportedVSTSData[[#This Row],[Work Item Type]]="Epic",ExportedVSTSData[[#This Row],[Title 1]],#REF!))</f>
        <v/>
      </c>
      <c r="O3" s="29" t="str">
        <f>IF(ExportedVSTSData[[#This Row],[Work Item Type]]="Epic",SUMIF(ExportedVSTSData[E-Title],ExportedVSTSData[[#This Row],[E-Title]],ExportedVSTSData[F-BAC]),"-")</f>
        <v>-</v>
      </c>
      <c r="P3" s="29" t="str">
        <f>IF(ExportedVSTSData[[#This Row],[Work Item Type]]="Epic",SUMIF(ExportedVSTSData[E-Title],ExportedVSTSData[[#This Row],[E-Title]],ExportedVSTSData[F-EV]),"-")</f>
        <v>-</v>
      </c>
      <c r="Q3" s="29" t="str">
        <f>IF(ExportedVSTSData[[#This Row],[Work Item Type]]="Epic",SUMIF(ExportedVSTSData[E-Title],ExportedVSTSData[[#This Row],[E-Title]],ExportedVSTSData[F-AC]),"-")</f>
        <v>-</v>
      </c>
      <c r="R3" s="29" t="str">
        <f>IF(ExportedVSTSData[[#This Row],[Work Item Type]]="Epic",SUMIF(ExportedVSTSData[E-Title],ExportedVSTSData[[#This Row],[E-Title]],ExportedVSTSData[F-PV]),"-")</f>
        <v>-</v>
      </c>
      <c r="S3" s="29" t="str">
        <f>IF(ExportedVSTSData[[#This Row],[Work Item Type]]="Epic",IF(ExportedVSTSData[[#This Row],[E-EV]]&lt;&gt;"(Active)",ExportedVSTSData[[#This Row],[E-EV]],0)-ExportedVSTSData[[#This Row],[E-PV]], "-")</f>
        <v>-</v>
      </c>
      <c r="T3" s="29" t="str">
        <f>IF(ExportedVSTSData[[#This Row],[Work Item Type]]="Epic",IF(ExportedVSTSData[[#This Row],[E-EV]]&lt;&gt;"(Active)",ExportedVSTSData[[#This Row],[E-EV]],0)-IF(ExportedVSTSData[[#This Row],[E-AC]]&lt;&gt;"(Active)",ExportedVSTSData[[#This Row],[E-AC]],0), "-")</f>
        <v>-</v>
      </c>
      <c r="U3" s="29" t="str">
        <f>IF(ExportedVSTSData[[#This Row],[Work Item Type]]="Epic",SUMIF(ExportedVSTSData[E-Title],ExportedVSTSData[[#This Row],[E-Title]],ExportedVSTSData[F-EAC]),"-")</f>
        <v>-</v>
      </c>
      <c r="V3" s="29" t="str">
        <f>IF(ExportedVSTSData[[#This Row],[Work Item Type]]="Epic",ExportedVSTSData[[#This Row],[E-BAC]]-ExportedVSTSData[[#This Row],[E-EAC]],"-")</f>
        <v>-</v>
      </c>
      <c r="W3" s="30" t="str">
        <f>IF(ExportedVSTSData[[#This Row],[Work Item Type]]="Epic",IF(ExportedVSTSData[[#This Row],[E-AC]]&gt;0,ExportedVSTSData[[#This Row],[E-EV]]/ExportedVSTSData[[#This Row],[E-AC]],"(Active)"), "-")</f>
        <v>-</v>
      </c>
      <c r="X3" s="31" t="str">
        <f>IF(ExportedVSTSData[[#This Row],[Work Item Type]]="Epic",IF(ExportedVSTSData[[#This Row],[E-PV]]=0,1,ExportedVSTSData[[#This Row],[E-EV]]/ExportedVSTSData[[#This Row],[E-PV]]), "-")</f>
        <v>-</v>
      </c>
      <c r="Y3" s="14" t="str">
        <f>IF(ExportedVSTSData[[#This Row],[Work Item Type]]="","",IF(ExportedVSTSData[[#This Row],[Work Item Type]]="Epic","-",IF(ExportedVSTSData[[#This Row],[Work Item Type]]="Feature",ExportedVSTSData[[#This Row],[Title 2]],#REF!)))</f>
        <v/>
      </c>
      <c r="Z3" s="29" t="str">
        <f>IF(ExportedVSTSData[[#This Row],[Work Item Type]]="Feature",SUMIF(ExportedVSTSData[F-Title],ExportedVSTSData[[#This Row],[F-Title]],ExportedVSTSData[R-BAC]),"-")</f>
        <v>-</v>
      </c>
      <c r="AA3" s="29" t="str">
        <f>IF(ExportedVSTSData[[#This Row],[Work Item Type]]="Feature",SUMIF(ExportedVSTSData[F-Title],ExportedVSTSData[[#This Row],[F-Title]],ExportedVSTSData[R-EV]),"-")</f>
        <v>-</v>
      </c>
      <c r="AB3" s="29" t="str">
        <f>IF(ExportedVSTSData[[#This Row],[Work Item Type]]="Feature",SUMIF(ExportedVSTSData[F-Title],ExportedVSTSData[[#This Row],[F-Title]],ExportedVSTSData[R-AC]),"-")</f>
        <v>-</v>
      </c>
      <c r="AC3" s="29" t="str">
        <f>IF(ExportedVSTSData[[#This Row],[Work Item Type]]="Feature",SUMIF(ExportedVSTSData[F-Title],ExportedVSTSData[[#This Row],[F-Title]],ExportedVSTSData[R-PV]),"-")</f>
        <v>-</v>
      </c>
      <c r="AD3" s="29" t="str">
        <f>IF(ExportedVSTSData[[#This Row],[Work Item Type]]="Feature",IF(ExportedVSTSData[[#This Row],[F-EV]]&gt;0,ExportedVSTSData[[#This Row],[F-EV]],0)-ExportedVSTSData[[#This Row],[F-PV]], "-")</f>
        <v>-</v>
      </c>
      <c r="AE3" s="29" t="str">
        <f>IF(ExportedVSTSData[[#This Row],[Work Item Type]]="Feature",IF(ExportedVSTSData[[#This Row],[F-EV]]&gt;0,ExportedVSTSData[[#This Row],[F-EV]],0)-IF(ExportedVSTSData[[#This Row],[F-AC]]&lt;&gt;"(Active)",ExportedVSTSData[[#This Row],[F-AC]],0), "-")</f>
        <v>-</v>
      </c>
      <c r="AF3" s="29" t="str">
        <f>IF(ExportedVSTSData[[#This Row],[Work Item Type]]="Feature",SUMIF(ExportedVSTSData[F-Title],ExportedVSTSData[[#This Row],[F-Title]],ExportedVSTSData[R-EAC]),"-")</f>
        <v>-</v>
      </c>
      <c r="AG3" s="29" t="str">
        <f>IF(ExportedVSTSData[[#This Row],[Work Item Type]]="Feature",ExportedVSTSData[[#This Row],[F-BAC]]-ExportedVSTSData[[#This Row],[F-EAC]],"-")</f>
        <v>-</v>
      </c>
      <c r="AH3" s="31" t="str">
        <f>IF(ExportedVSTSData[[#This Row],[Work Item Type]]="Feature",IF(ExportedVSTSData[[#This Row],[F-AC]]&gt;0,ExportedVSTSData[[#This Row],[F-EV]]/ExportedVSTSData[[#This Row],[F-AC]],"(Active)"), "-")</f>
        <v>-</v>
      </c>
      <c r="AI3" s="31" t="str">
        <f>IF(ExportedVSTSData[[#This Row],[Work Item Type]]="Feature",IF(ExportedVSTSData[[#This Row],[F-EV]]&lt;&gt;"(Acvite)",IF(ExportedVSTSData[[#This Row],[F-PV]]=0,1,ExportedVSTSData[[#This Row],[F-EV]]/ExportedVSTSData[[#This Row],[F-PV]]),0), "-")</f>
        <v>-</v>
      </c>
      <c r="AJ3" s="14" t="str">
        <f>IF(ExportedVSTSData[[#This Row],[Work Item Type]]="","",IF(ExportedVSTSData[[#This Row],[Work Item Type]]="Epic","-",IF(ExportedVSTSData[[#This Row],[Work Item Type]]="Feature","-", IF(ExportedVSTSData[[#This Row],[Work Item Type]]="Requirement",ExportedVSTSData[[#This Row],[Title 3]],#REF!))))</f>
        <v/>
      </c>
      <c r="AK3" s="29" t="str">
        <f>IF(ExportedVSTSData[[#This Row],[Work Item Type]]="Requirement", ExportedVSTSData[[#This Row],[Original Estimate]], "-")</f>
        <v>-</v>
      </c>
      <c r="AL3" s="29" t="str">
        <f>IF(ExportedVSTSData[[#This Row],[Work Item Type]]="Requirement",IF(ExportedVSTSData[[#This Row],[State]]="Closed", ExportedVSTSData[[#This Row],[Original Estimate]], "(Active)"), "-")</f>
        <v>-</v>
      </c>
      <c r="AM3" s="29" t="str">
        <f>IF(ExportedVSTSData[[#This Row],[Work Item Type]]="Requirement",IF(ExportedVSTSData[[#This Row],[State]]="Closed",SUMIF(ExportedVSTSData[R-Title],ExportedVSTSData[[#This Row],[R-Title]],ExportedVSTSData[Completed Work]),"(Active)"), "-")</f>
        <v>-</v>
      </c>
      <c r="AN3" s="29" t="str">
        <f>IF(ExportedVSTSData[[#This Row],[Work Item Type]]="Requirement",IF(ExportedVSTSData[[#This Row],[Spent]]=TRUE,ExportedVSTSData[[#This Row],[Original Estimate]],0), "-")</f>
        <v>-</v>
      </c>
      <c r="AO3" s="29" t="str">
        <f>IF(ExportedVSTSData[[#This Row],[Work Item Type]]="Requirement",IF(ExportedVSTSData[[#This Row],[R-EV]]&lt;&gt;"(Active)",ExportedVSTSData[[#This Row],[R-EV]],0)-ExportedVSTSData[[#This Row],[R-PV]], "-")</f>
        <v>-</v>
      </c>
      <c r="AP3" s="29" t="str">
        <f>IF(ExportedVSTSData[[#This Row],[Work Item Type]]="Requirement",IF(ExportedVSTSData[[#This Row],[R-EV]]&lt;&gt;"(Active)",ExportedVSTSData[[#This Row],[R-EV]],0)-IF(ExportedVSTSData[[#This Row],[R-AC]]&lt;&gt;"(Active)",ExportedVSTSData[[#This Row],[R-AC]],0), "-")</f>
        <v>-</v>
      </c>
      <c r="AQ3" s="29" t="str">
        <f>IF(ExportedVSTSData[[#This Row],[Work Item Type]]="Requirement",IF(ExportedVSTSData[[#This Row],[State]]="Closed",ExportedVSTSData[[#This Row],[R-AC]],ExportedVSTSData[[#This Row],[R-BAC]]), "-")</f>
        <v>-</v>
      </c>
      <c r="AR3" s="29" t="str">
        <f>IF(ExportedVSTSData[[#This Row],[Work Item Type]]="Requirement",ExportedVSTSData[[#This Row],[R-BAC]]-ExportedVSTSData[[#This Row],[R-EAC]], "-")</f>
        <v>-</v>
      </c>
      <c r="AS3" s="31" t="str">
        <f>IF(ExportedVSTSData[[#This Row],[Work Item Type]]="Requirement",IF(ExportedVSTSData[[#This Row],[State]]="Closed",IF(ExportedVSTSData[[#This Row],[R-AC]]=0,ExportedVSTSData[[#This Row],[R-EV]]/0.01,ExportedVSTSData[[#This Row],[R-EV]]/ExportedVSTSData[[#This Row],[R-AC]]),"(Active)"), "-")</f>
        <v>-</v>
      </c>
      <c r="AT3" s="31" t="str">
        <f>IF(ExportedVSTSData[[#This Row],[Work Item Type]]="Requirement",IF(ExportedVSTSData[[#This Row],[R-EV]]&lt;&gt;"(Active)",IF(ExportedVSTSData[[#This Row],[R-PV]]=0,1,ExportedVSTSData[[#This Row],[R-EV]]/ExportedVSTSData[[#This Row],[R-PV]]),0), "-")</f>
        <v>-</v>
      </c>
      <c r="AU3" s="14" t="str">
        <f>IF(OR(ExportedVSTSData[[#This Row],[Work Item Type]]="Task",ExportedVSTSData[[#This Row],[Work Item Type]]="Bug"),ExportedVSTSData[[#This Row],[Title 4]],"-")</f>
        <v>-</v>
      </c>
      <c r="AV3" s="34" t="str">
        <f>IF(OR(ExportedVSTSData[[#This Row],[Work Item Type]]="Task",ExportedVSTSData[[#This Row],[Work Item Type]]="Bug"),IF(ExportedVSTSData[[#This Row],[State]]="Closed",ExportedVSTSData[[#This Row],[Original Estimate]],"(Active)"),"-")</f>
        <v>-</v>
      </c>
      <c r="AW3" s="34" t="str">
        <f>IF(OR(ExportedVSTSData[[#This Row],[Work Item Type]]="Task",ExportedVSTSData[[#This Row],[Work Item Type]]="Bug"),IF(ExportedVSTSData[[#This Row],[State]]="Closed",ExportedVSTSData[[#This Row],[Completed Work]],"(Active)"),"-")</f>
        <v>-</v>
      </c>
      <c r="AX3" s="34" t="str">
        <f>IF(OR(ExportedVSTSData[[#This Row],[Work Item Type]]="Task",ExportedVSTSData[[#This Row],[Work Item Type]]="Bug"),IF(ExportedVSTSData[[#This Row],[Spent]]=TRUE,ExportedVSTSData[[#This Row],[Original Estimate]],0), "-")</f>
        <v>-</v>
      </c>
      <c r="AY3" s="34" t="str">
        <f>IF(OR(ExportedVSTSData[[#This Row],[Work Item Type]]="Task",ExportedVSTSData[[#This Row],[Work Item Type]]="Bug"),IF(ExportedVSTSData[[#This Row],[T-EV]]&lt;&gt;"(Active)",ExportedVSTSData[[#This Row],[T-EV]],0)-ExportedVSTSData[[#This Row],[T-PV]], "-")</f>
        <v>-</v>
      </c>
      <c r="AZ3" s="34" t="str">
        <f>IF(OR(ExportedVSTSData[[#This Row],[Work Item Type]]="Task",ExportedVSTSData[[#This Row],[Work Item Type]]="Bug"),IF(ExportedVSTSData[[#This Row],[T-EV]]&lt;&gt;"(Active)",ExportedVSTSData[[#This Row],[T-EV]],0)-IF(ExportedVSTSData[[#This Row],[T-AC]]&lt;&gt;"(Active)",ExportedVSTSData[[#This Row],[T-AC]],0), "-")</f>
        <v>-</v>
      </c>
      <c r="BA3" s="31" t="str">
        <f>IF(OR(ExportedVSTSData[[#This Row],[Work Item Type]]="Task",ExportedVSTSData[[#This Row],[Work Item Type]]="Bug"),IF(ExportedVSTSData[[#This Row],[State]]="Closed",IF(ExportedVSTSData[[#This Row],[T-AC]]=0,ExportedVSTSData[[#This Row],[T-EV]]/0.01,ExportedVSTSData[[#This Row],[T-EV]]/ExportedVSTSData[[#This Row],[T-AC]]),"(Active)"), "-")</f>
        <v>-</v>
      </c>
      <c r="BB3" s="31" t="str">
        <f>IF(OR(ExportedVSTSData[[#This Row],[Work Item Type]]="Task",ExportedVSTSData[[#This Row],[Work Item Type]]="Bug"),IF(ExportedVSTSData[[#This Row],[State]]="Closed", 1, IF(ExportedVSTSData[[#This Row],[Spent]]=TRUE, 0, 1)), "-")</f>
        <v>-</v>
      </c>
      <c r="BC3" s="15" t="str">
        <f>IF(ExportedVSTSData[[#This Row],[Iteration Path]]&lt;&gt;"",VLOOKUP(ExportedVSTSData[[#This Row],[Iteration Path]],Iterations[#Data],2,FALSE),"-")</f>
        <v>-</v>
      </c>
      <c r="BD3" s="37">
        <v>42736</v>
      </c>
    </row>
    <row r="4" spans="1:56" x14ac:dyDescent="0.45">
      <c r="A4" s="20"/>
      <c r="N4" s="14"/>
      <c r="O4" s="35">
        <f>SUBTOTAL(109,ExportedVSTSData[E-BAC])</f>
        <v>0</v>
      </c>
      <c r="P4" s="34">
        <f>SUBTOTAL(109,ExportedVSTSData[E-EV])</f>
        <v>0</v>
      </c>
      <c r="Q4" s="34">
        <f>SUBTOTAL(109,ExportedVSTSData[E-AC])</f>
        <v>0</v>
      </c>
      <c r="R4" s="34">
        <f>SUBTOTAL(109,ExportedVSTSData[E-PV])</f>
        <v>0</v>
      </c>
      <c r="S4" s="13"/>
      <c r="T4" s="13"/>
      <c r="U4" s="36">
        <f>SUBTOTAL(109,ExportedVSTSData[E-EAC])</f>
        <v>0</v>
      </c>
      <c r="V4" s="36">
        <f>SUBTOTAL(109,ExportedVSTSData[E-VAC])</f>
        <v>0</v>
      </c>
      <c r="W4" s="17"/>
      <c r="Y4" s="14"/>
      <c r="Z4" s="17">
        <f>SUBTOTAL(109,ExportedVSTSData[F-BAC])</f>
        <v>0</v>
      </c>
      <c r="AA4" s="34">
        <f>SUBTOTAL(109,ExportedVSTSData[F-EV])</f>
        <v>0</v>
      </c>
      <c r="AB4" s="34">
        <f>SUBTOTAL(109,ExportedVSTSData[F-AC])</f>
        <v>0</v>
      </c>
      <c r="AC4" s="34">
        <f>SUBTOTAL(109,ExportedVSTSData[F-PV])</f>
        <v>0</v>
      </c>
      <c r="AD4" s="13"/>
      <c r="AE4" s="13"/>
      <c r="AF4" s="34">
        <f>SUBTOTAL(109,ExportedVSTSData[F-EAC])</f>
        <v>0</v>
      </c>
      <c r="AG4" s="34">
        <f>SUBTOTAL(109,ExportedVSTSData[F-VAC])</f>
        <v>0</v>
      </c>
      <c r="AH4" s="18"/>
      <c r="AI4" s="18"/>
      <c r="AJ4" s="14"/>
      <c r="AK4" s="13">
        <f>SUBTOTAL(109,ExportedVSTSData[R-BAC])</f>
        <v>0</v>
      </c>
      <c r="AL4" s="13">
        <f>SUBTOTAL(109,ExportedVSTSData[R-EV])</f>
        <v>0</v>
      </c>
      <c r="AM4" s="34">
        <f>SUBTOTAL(109,ExportedVSTSData[R-AC])</f>
        <v>0</v>
      </c>
      <c r="AN4" s="34">
        <f>SUBTOTAL(109,ExportedVSTSData[R-PV])</f>
        <v>0</v>
      </c>
      <c r="AQ4" s="34">
        <f>SUBTOTAL(109,ExportedVSTSData[R-EAC])</f>
        <v>0</v>
      </c>
      <c r="AR4" s="34">
        <f>SUBTOTAL(109,ExportedVSTSData[R-VAC])</f>
        <v>0</v>
      </c>
      <c r="AS4" s="17"/>
      <c r="AT4" s="17"/>
      <c r="AU4" s="14"/>
      <c r="AV4" s="13">
        <f>SUBTOTAL(109,ExportedVSTSData[T-EV])</f>
        <v>0</v>
      </c>
      <c r="AW4" s="13">
        <f>SUBTOTAL(109,ExportedVSTSData[T-AC])</f>
        <v>0</v>
      </c>
      <c r="AX4" s="13">
        <f>SUBTOTAL(109,ExportedVSTSData[T-PV])</f>
        <v>0</v>
      </c>
      <c r="AY4" s="13"/>
      <c r="AZ4" s="13"/>
      <c r="BA4" s="17"/>
      <c r="BB4" s="17"/>
      <c r="BC4" s="17"/>
    </row>
  </sheetData>
  <phoneticPr fontId="1"/>
  <conditionalFormatting sqref="N1:N1048576">
    <cfRule type="expression" dxfId="119" priority="5" stopIfTrue="1">
      <formula>$B1&lt;&gt;"Epic"</formula>
    </cfRule>
  </conditionalFormatting>
  <conditionalFormatting sqref="Y1:Y1048576">
    <cfRule type="expression" dxfId="118" priority="4" stopIfTrue="1">
      <formula>$B1&lt;&gt;"Feature"</formula>
    </cfRule>
  </conditionalFormatting>
  <conditionalFormatting sqref="AJ1:AJ1048576">
    <cfRule type="expression" dxfId="117" priority="3" stopIfTrue="1">
      <formula>$B1&lt;&gt;"Requirement"</formula>
    </cfRule>
  </conditionalFormatting>
  <conditionalFormatting sqref="AU1:AU1048576">
    <cfRule type="expression" dxfId="116" priority="2" stopIfTrue="1">
      <formula>AND($B1&lt;&gt;"Task",$B1&lt;&gt;"Bug")</formula>
    </cfRule>
  </conditionalFormatting>
  <conditionalFormatting sqref="N2 Y2 AJ2 AU2">
    <cfRule type="expression" dxfId="115" priority="1" stopIfTrue="1">
      <formula>$B2="Work Item Type"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1.2. Iterations Data</vt:lpstr>
      <vt:lpstr>3. Exported TFS・VSTS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2017-04-25T08:15:31Z</dcterms:created>
  <dcterms:modified xsi:type="dcterms:W3CDTF">2017-04-25T08:16:03Z</dcterms:modified>
</cp:coreProperties>
</file>